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ros" sheetId="1" state="visible" r:id="rId3"/>
    <sheet name="Boleta" sheetId="2" state="visible" r:id="rId4"/>
  </sheets>
  <definedNames>
    <definedName function="false" hidden="false" name="AFP_COMISION" vbProcedure="false">Parametros!$B$11</definedName>
    <definedName function="false" hidden="false" name="AFP_FONDO" vbProcedure="false">Parametros!$B$10</definedName>
    <definedName function="false" hidden="false" name="AFP_SEGURO" vbProcedure="false">Parametros!$B$12</definedName>
    <definedName function="false" hidden="false" name="PCT_ASIG_FAM" vbProcedure="false">Parametros!$B$5</definedName>
    <definedName function="false" hidden="false" name="PCT_ESSALUD" vbProcedure="false">Parametros!$B$7</definedName>
    <definedName function="false" hidden="false" name="PCT_ONP" vbProcedure="false">Parametros!$B$6</definedName>
    <definedName function="false" hidden="false" name="REC_25" vbProcedure="false">Parametros!$B$8</definedName>
    <definedName function="false" hidden="false" name="REC_35" vbProcedure="false">Parametros!$B$9</definedName>
    <definedName function="false" hidden="false" name="RMV" vbProcedure="false">Parametros!$B$4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<sst xmlns="http://schemas.openxmlformats.org/spreadsheetml/2006/main" count="52" uniqueCount="46">
  <si>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PARAMETROS DEL CALCULO</t>
  </si>
  <si>
    <t xml:space="preserve">Parametro</t>
  </si>
  <si>
    <t xml:space="preserve">Valor</t>
  </si>
  <si>
    <t xml:space="preserve">Fuente</t>
  </si>
  <si>
    <t xml:space="preserve">RMV</t>
  </si>
  <si>
    <t xml:space="preserve">D.S. de la RMV, vigente desde el 1 de octubre de 2026</t>
  </si>
  <si>
    <t xml:space="preserve">% Asignacion familiar</t>
  </si>
  <si>
    <t xml:space="preserve">Ley 25129 (10% de la RMV, no se prorratea por dias)</t>
  </si>
  <si>
    <t xml:space="preserve">% ONP</t>
  </si>
  <si>
    <t xml:space="preserve">D.L. 19990</t>
  </si>
  <si>
    <t xml:space="preserve">% EsSalud</t>
  </si>
  <si>
    <t xml:space="preserve">Ley 26790 (lo paga el empleador)</t>
  </si>
  <si>
    <t xml:space="preserve">Recargo horas extra 25%</t>
  </si>
  <si>
    <t xml:space="preserve">Normas de jornada y sobretiempo</t>
  </si>
  <si>
    <t xml:space="preserve">Recargo horas extra 35%</t>
  </si>
  <si>
    <t xml:space="preserve">AFP Ejemplo - Fondo</t>
  </si>
  <si>
    <t xml:space="preserve">Valor de prueba; en datos reales usar los publicados por la SBS</t>
  </si>
  <si>
    <t xml:space="preserve">AFP Ejemplo - Comision</t>
  </si>
  <si>
    <t xml:space="preserve">AFP Ejemplo - Seguro</t>
  </si>
  <si>
    <t xml:space="preserve">Los parametros no se escriben dentro de las formulas: viven aqui, en un solo lugar.</t>
  </si>
  <si>
    <t xml:space="preserve">BOLETA DE EJEMPLO</t>
  </si>
  <si>
    <t xml:space="preserve">Datos ficticios. Edita solo las celdas azules (Datos de entrada).</t>
  </si>
  <si>
    <t xml:space="preserve">DATOS DE ENTRADA</t>
  </si>
  <si>
    <t xml:space="preserve">Sueldo basico (S/)</t>
  </si>
  <si>
    <t xml:space="preserve">Dias laborados</t>
  </si>
  <si>
    <t xml:space="preserve">Tiene hijos (No / Si)</t>
  </si>
  <si>
    <t xml:space="preserve">No</t>
  </si>
  <si>
    <t xml:space="preserve">Sistema de pension (ONP / AFP)</t>
  </si>
  <si>
    <t xml:space="preserve">ONP</t>
  </si>
  <si>
    <t xml:space="preserve">Horas extra 25%</t>
  </si>
  <si>
    <t xml:space="preserve">Horas extra 35%</t>
  </si>
  <si>
    <t xml:space="preserve">Adelantos (S/)</t>
  </si>
  <si>
    <t xml:space="preserve">CALCULO</t>
  </si>
  <si>
    <t xml:space="preserve">Sueldo computable</t>
  </si>
  <si>
    <t xml:space="preserve">Asignacion familiar</t>
  </si>
  <si>
    <t xml:space="preserve">Valor hora (auxiliar)</t>
  </si>
  <si>
    <t xml:space="preserve">Total remuneraciones</t>
  </si>
  <si>
    <t xml:space="preserve">AFP fondo</t>
  </si>
  <si>
    <t xml:space="preserve">AFP comision</t>
  </si>
  <si>
    <t xml:space="preserve">AFP seguro</t>
  </si>
  <si>
    <t xml:space="preserve">Adelantos (descuento)</t>
  </si>
  <si>
    <t xml:space="preserve">Total descuentos</t>
  </si>
  <si>
    <t xml:space="preserve">NETO A PAGAR</t>
  </si>
  <si>
    <t xml:space="preserve">APORTACIONES DEL EMPLEADOR</t>
  </si>
  <si>
    <t xml:space="preserve">EsSalud (9%)</t>
  </si>
  <si>
    <t xml:space="preserve">Formulas vivas: cambia los datos de entrada y la boleta se recalcula sola.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</si>
</sst>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\ %"/>
    <numFmt numFmtId="167" formatCode="0.0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1230</v>
      </c>
      <c r="C4" s="5" t="s">
        <v>5</v>
      </c>
    </row>
    <row r="5" customFormat="false" ht="15" hidden="false" customHeight="false" outlineLevel="0" collapsed="false">
      <c r="A5" s="3" t="s">
        <v>6</v>
      </c>
      <c r="B5" s="6" t="n">
        <v>0.1</v>
      </c>
      <c r="C5" s="5" t="s">
        <v>7</v>
      </c>
    </row>
    <row r="6" customFormat="false" ht="15" hidden="false" customHeight="false" outlineLevel="0" collapsed="false">
      <c r="A6" s="3" t="s">
        <v>8</v>
      </c>
      <c r="B6" s="6" t="n">
        <v>0.13</v>
      </c>
      <c r="C6" s="5" t="s">
        <v>9</v>
      </c>
    </row>
    <row r="7" customFormat="false" ht="15" hidden="false" customHeight="false" outlineLevel="0" collapsed="false">
      <c r="A7" s="3" t="s">
        <v>10</v>
      </c>
      <c r="B7" s="6" t="n">
        <v>0.09</v>
      </c>
      <c r="C7" s="5" t="s">
        <v>11</v>
      </c>
    </row>
    <row r="8" customFormat="false" ht="15" hidden="false" customHeight="false" outlineLevel="0" collapsed="false">
      <c r="A8" s="3" t="s">
        <v>12</v>
      </c>
      <c r="B8" s="7" t="n">
        <v>1.25</v>
      </c>
      <c r="C8" s="5" t="s">
        <v>13</v>
      </c>
    </row>
    <row r="9" customFormat="false" ht="15" hidden="false" customHeight="false" outlineLevel="0" collapsed="false">
      <c r="A9" s="3" t="s">
        <v>14</v>
      </c>
      <c r="B9" s="7" t="n">
        <v>1.35</v>
      </c>
      <c r="C9" s="5" t="s">
        <v>13</v>
      </c>
    </row>
    <row r="10" customFormat="false" ht="15" hidden="false" customHeight="false" outlineLevel="0" collapsed="false">
      <c r="A10" s="3" t="s">
        <v>15</v>
      </c>
      <c r="B10" s="6" t="n">
        <v>0.1</v>
      </c>
      <c r="C10" s="5" t="s">
        <v>16</v>
      </c>
    </row>
    <row r="11" customFormat="false" ht="15" hidden="false" customHeight="false" outlineLevel="0" collapsed="false">
      <c r="A11" s="3" t="s">
        <v>17</v>
      </c>
      <c r="B11" s="6" t="n">
        <v>0.016</v>
      </c>
      <c r="C11" s="5" t="s">
        <v>16</v>
      </c>
    </row>
    <row r="12" customFormat="false" ht="15" hidden="false" customHeight="false" outlineLevel="0" collapsed="false">
      <c r="A12" s="3" t="s">
        <v>18</v>
      </c>
      <c r="B12" s="6" t="n">
        <v>0.0135</v>
      </c>
      <c r="C12" s="5" t="s">
        <v>16</v>
      </c>
    </row>
    <row r="13" customFormat="false" ht="27.75" hidden="false" customHeight="true" outlineLevel="0" collapsed="false">
      <c r="A13" s="8" t="s">
        <v>19</v>
      </c>
      <c r="B13" s="8"/>
      <c r="C13" s="8"/>
    </row>
  </sheetData>
  <mergeCells count="2">
    <mergeCell ref="A1:C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20</v>
      </c>
      <c r="B1" s="1"/>
      <c r="C1" s="1"/>
    </row>
    <row r="2" customFormat="false" ht="15" hidden="false" customHeight="false" outlineLevel="0" collapsed="false">
      <c r="A2" s="8" t="s">
        <v>21</v>
      </c>
      <c r="B2" s="8"/>
      <c r="C2" s="8"/>
    </row>
    <row r="4" customFormat="false" ht="15" hidden="false" customHeight="false" outlineLevel="0" collapsed="false">
      <c r="A4" s="9" t="s">
        <v>22</v>
      </c>
      <c r="B4" s="9"/>
      <c r="C4" s="9"/>
    </row>
    <row r="5" customFormat="false" ht="15" hidden="false" customHeight="false" outlineLevel="0" collapsed="false">
      <c r="A5" s="3" t="s">
        <v>23</v>
      </c>
      <c r="B5" s="4" t="n">
        <v>2500</v>
      </c>
    </row>
    <row r="6" customFormat="false" ht="15" hidden="false" customHeight="false" outlineLevel="0" collapsed="false">
      <c r="A6" s="3" t="s">
        <v>24</v>
      </c>
      <c r="B6" s="10" t="n">
        <v>30</v>
      </c>
    </row>
    <row r="7" customFormat="false" ht="15" hidden="false" customHeight="false" outlineLevel="0" collapsed="false">
      <c r="A7" s="3" t="s">
        <v>25</v>
      </c>
      <c r="B7" s="11" t="s">
        <v>26</v>
      </c>
    </row>
    <row r="8" customFormat="false" ht="15" hidden="false" customHeight="false" outlineLevel="0" collapsed="false">
      <c r="A8" s="3" t="s">
        <v>27</v>
      </c>
      <c r="B8" s="11" t="s">
        <v>28</v>
      </c>
    </row>
    <row r="9" customFormat="false" ht="15" hidden="false" customHeight="false" outlineLevel="0" collapsed="false">
      <c r="A9" s="3" t="s">
        <v>29</v>
      </c>
      <c r="B9" s="7" t="n">
        <v>0</v>
      </c>
    </row>
    <row r="10" customFormat="false" ht="15" hidden="false" customHeight="false" outlineLevel="0" collapsed="false">
      <c r="A10" s="3" t="s">
        <v>30</v>
      </c>
      <c r="B10" s="7" t="n">
        <v>0</v>
      </c>
    </row>
    <row r="11" customFormat="false" ht="15" hidden="false" customHeight="false" outlineLevel="0" collapsed="false">
      <c r="A11" s="3" t="s">
        <v>31</v>
      </c>
      <c r="B11" s="4" t="n">
        <v>0</v>
      </c>
    </row>
    <row r="13" customFormat="false" ht="15" hidden="false" customHeight="false" outlineLevel="0" collapsed="false">
      <c r="A13" s="9" t="s">
        <v>32</v>
      </c>
      <c r="B13" s="9"/>
      <c r="C13" s="9"/>
    </row>
    <row r="14" customFormat="false" ht="15" hidden="false" customHeight="false" outlineLevel="0" collapsed="false">
      <c r="A14" s="3" t="s">
        <v>33</v>
      </c>
      <c r="B14" s="12" t="n">
        <f aca="false">ROUND(B5/30*B6,2)</f>
        <v>2500</v>
      </c>
    </row>
    <row r="15" customFormat="false" ht="15" hidden="false" customHeight="false" outlineLevel="0" collapsed="false">
      <c r="A15" s="3" t="s">
        <v>34</v>
      </c>
      <c r="B15" s="12" t="n">
        <f aca="false">ROUND(IF(B7="Si",RMV*PCT_ASIG_FAM,0),2)</f>
        <v>0</v>
      </c>
    </row>
    <row r="16" customFormat="false" ht="15" hidden="false" customHeight="false" outlineLevel="0" collapsed="false">
      <c r="A16" s="3" t="s">
        <v>35</v>
      </c>
      <c r="B16" s="12" t="n">
        <f aca="false">B5/30/8</f>
        <v>10.4166666666667</v>
      </c>
    </row>
    <row r="17" customFormat="false" ht="15" hidden="false" customHeight="false" outlineLevel="0" collapsed="false">
      <c r="A17" s="3" t="s">
        <v>29</v>
      </c>
      <c r="B17" s="12" t="n">
        <f aca="false">ROUND(B16*REC_25*B9,2)</f>
        <v>0</v>
      </c>
    </row>
    <row r="18" customFormat="false" ht="15" hidden="false" customHeight="false" outlineLevel="0" collapsed="false">
      <c r="A18" s="3" t="s">
        <v>30</v>
      </c>
      <c r="B18" s="12" t="n">
        <f aca="false">ROUND(B16*REC_35*B10,2)</f>
        <v>0</v>
      </c>
    </row>
    <row r="19" customFormat="false" ht="15" hidden="false" customHeight="false" outlineLevel="0" collapsed="false">
      <c r="A19" s="13" t="s">
        <v>36</v>
      </c>
      <c r="B19" s="14" t="n">
        <f aca="false">B14+B15+B17+B18</f>
        <v>2500</v>
      </c>
    </row>
    <row r="20" customFormat="false" ht="15" hidden="false" customHeight="false" outlineLevel="0" collapsed="false">
      <c r="A20" s="3" t="s">
        <v>28</v>
      </c>
      <c r="B20" s="12" t="n">
        <f aca="false">IF(B8="ONP",ROUND(B19*PCT_ONP,2),0)</f>
        <v>325</v>
      </c>
    </row>
    <row r="21" customFormat="false" ht="15" hidden="false" customHeight="false" outlineLevel="0" collapsed="false">
      <c r="A21" s="3" t="s">
        <v>37</v>
      </c>
      <c r="B21" s="12" t="n">
        <f aca="false">IF(B8="AFP",ROUND(B19*AFP_FONDO,2),0)</f>
        <v>0</v>
      </c>
    </row>
    <row r="22" customFormat="false" ht="15" hidden="false" customHeight="false" outlineLevel="0" collapsed="false">
      <c r="A22" s="3" t="s">
        <v>38</v>
      </c>
      <c r="B22" s="12" t="n">
        <f aca="false">IF(B8="AFP",ROUND(B19*AFP_COMISION,2),0)</f>
        <v>0</v>
      </c>
    </row>
    <row r="23" customFormat="false" ht="15" hidden="false" customHeight="false" outlineLevel="0" collapsed="false">
      <c r="A23" s="3" t="s">
        <v>39</v>
      </c>
      <c r="B23" s="12" t="n">
        <f aca="false">IF(B8="AFP",ROUND(B19*AFP_SEGURO,2),0)</f>
        <v>0</v>
      </c>
    </row>
    <row r="24" customFormat="false" ht="15" hidden="false" customHeight="false" outlineLevel="0" collapsed="false">
      <c r="A24" s="3" t="s">
        <v>40</v>
      </c>
      <c r="B24" s="12" t="n">
        <f aca="false">B11</f>
        <v>0</v>
      </c>
    </row>
    <row r="25" customFormat="false" ht="15" hidden="false" customHeight="false" outlineLevel="0" collapsed="false">
      <c r="A25" s="3" t="s">
        <v>41</v>
      </c>
      <c r="B25" s="12" t="n">
        <f aca="false">B20+B21+B22+B23+B24</f>
        <v>325</v>
      </c>
    </row>
    <row r="26" customFormat="false" ht="15" hidden="false" customHeight="false" outlineLevel="0" collapsed="false">
      <c r="A26" s="13" t="s">
        <v>42</v>
      </c>
      <c r="B26" s="14" t="n">
        <f aca="false">B19-B25</f>
        <v>2175</v>
      </c>
    </row>
    <row r="28" customFormat="false" ht="15" hidden="false" customHeight="false" outlineLevel="0" collapsed="false">
      <c r="A28" s="9" t="s">
        <v>43</v>
      </c>
      <c r="B28" s="9"/>
      <c r="C28" s="9"/>
    </row>
    <row r="29" customFormat="false" ht="15" hidden="false" customHeight="false" outlineLevel="0" collapsed="false">
      <c r="A29" s="3" t="s">
        <v>44</v>
      </c>
      <c r="B29" s="12" t="n">
        <f aca="false">ROUND(B19*PCT_ESSALUD,2)</f>
        <v>225</v>
      </c>
    </row>
    <row r="31" customFormat="false" ht="27.75" hidden="false" customHeight="true" outlineLevel="0" collapsed="false">
      <c r="A31" s="8" t="s">
        <v>45</v>
      </c>
      <c r="B31" s="8"/>
      <c r="C31" s="8"/>
    </row>
  </sheetData>
  <mergeCells count="6">
    <mergeCell ref="A1:C1"/>
    <mergeCell ref="A2:C2"/>
    <mergeCell ref="A4:C4"/>
    <mergeCell ref="A13:C13"/>
    <mergeCell ref="A28:C28"/>
    <mergeCell ref="A31:C31"/>
  </mergeCells>
  <dataValidations count="2">
    <dataValidation allowBlank="false" errorStyle="stop" operator="between" showDropDown="false" showErrorMessage="false" showInputMessage="false" sqref="B7" type="list">
      <formula1>"No,Si"</formula1>
      <formula2>0</formula2>
    </dataValidation>
    <dataValidation allowBlank="false" errorStyle="stop" operator="between" showDropDown="false" showErrorMessage="false" showInputMessage="false" sqref="B8" type="list">
      <formula1>"ONP,AFP"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2026-10-29T12:49:37Z</dcterms:created>
  <dc:creator>openpyxl</dc:creator>
  <dc:description/>
  <dc:language>es-PE</dc:language>
  <cp:lastModifiedBy/>
  <dcterms:modified xsi:type="dcterms:W3CDTF">2026-10-29T12:49:37Z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