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ametros" sheetId="1" state="visible" r:id="rId3"/>
    <sheet name="Boleta" sheetId="2" state="visible" r:id="rId4"/>
    <sheet name="Casos" sheetId="3" state="visible" r:id="rId5"/>
    <sheet name="Explicacion" sheetId="4" state="visible" r:id="rId6"/>
  </sheets>
  <definedNames>
    <definedName function="false" hidden="false" name="AFP_COMISION" vbProcedure="false">Parametros!$B$11</definedName>
    <definedName function="false" hidden="false" name="AFP_FONDO" vbProcedure="false">Parametros!$B$10</definedName>
    <definedName function="false" hidden="false" name="AFP_SEGURO" vbProcedure="false">Parametros!$B$12</definedName>
    <definedName function="false" hidden="false" name="PCT_ASIG_FAM" vbProcedure="false">Parametros!$B$5</definedName>
    <definedName function="false" hidden="false" name="PCT_ESSALUD" vbProcedure="false">Parametros!$B$7</definedName>
    <definedName function="false" hidden="false" name="PCT_ONP" vbProcedure="false">Parametros!$B$6</definedName>
    <definedName function="false" hidden="false" name="REC_25" vbProcedure="false">Parametros!$B$8</definedName>
    <definedName function="false" hidden="false" name="REC_35" vbProcedure="false">Parametros!$B$9</definedName>
    <definedName function="false" hidden="false" name="RMV" vbProcedure="false">Parametros!$B$4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<sst xmlns="http://schemas.openxmlformats.org/spreadsheetml/2006/main" count="229" uniqueCount="176">
  <si>
    <t xml:space="preserve">PARAMETROS DEL CALCULO</t>
  </si>
  <si>
    <t xml:space="preserve">Parametro</t>
  </si>
  <si>
    <t xml:space="preserve">Valor</t>
  </si>
  <si>
    <t xml:space="preserve">Fuente</t>
  </si>
  <si>
    <t xml:space="preserve">RMV</t>
  </si>
  <si>
    <t xml:space="preserve">D.S. de la RMV, vigente desde el 1 de octubre de 2026</t>
  </si>
  <si>
    <t xml:space="preserve">% Asignacion familiar</t>
  </si>
  <si>
    <t xml:space="preserve">Ley 25129 (10% de la RMV, no se prorratea por dias)</t>
  </si>
  <si>
    <t xml:space="preserve">% ONP</t>
  </si>
  <si>
    <t xml:space="preserve">D.L. 19990</t>
  </si>
  <si>
    <t xml:space="preserve">% EsSalud</t>
  </si>
  <si>
    <t xml:space="preserve">Ley 26790 (lo paga el empleador)</t>
  </si>
  <si>
    <t xml:space="preserve">Recargo horas extra 25%</t>
  </si>
  <si>
    <t xml:space="preserve">Normas de jornada y sobretiempo</t>
  </si>
  <si>
    <t xml:space="preserve">Recargo horas extra 35%</t>
  </si>
  <si>
    <t xml:space="preserve">AFP Ejemplo - Fondo</t>
  </si>
  <si>
    <t xml:space="preserve">Valor de prueba; en datos reales usar los publicados por la SBS</t>
  </si>
  <si>
    <t xml:space="preserve">AFP Ejemplo - Comision</t>
  </si>
  <si>
    <t xml:space="preserve">AFP Ejemplo - Seguro</t>
  </si>
  <si>
    <t xml:space="preserve">Los parametros no se escriben dentro de las formulas: viven aqui, en un solo lugar.</t>
  </si>
  <si>
    <t xml:space="preserve">BOLETA DE EJEMPLO</t>
  </si>
  <si>
    <t xml:space="preserve">Datos ficticios. Edita solo las celdas azules (Datos de entrada).</t>
  </si>
  <si>
    <t xml:space="preserve">DATOS DE ENTRADA</t>
  </si>
  <si>
    <t xml:space="preserve">Sueldo basico (S/)</t>
  </si>
  <si>
    <t xml:space="preserve">Dias laborados</t>
  </si>
  <si>
    <t xml:space="preserve">Tiene hijos (No / Si)</t>
  </si>
  <si>
    <t xml:space="preserve">No</t>
  </si>
  <si>
    <t xml:space="preserve">Sistema de pension (ONP / AFP)</t>
  </si>
  <si>
    <t xml:space="preserve">ONP</t>
  </si>
  <si>
    <t xml:space="preserve">Horas extra 25%</t>
  </si>
  <si>
    <t xml:space="preserve">Horas extra 35%</t>
  </si>
  <si>
    <t xml:space="preserve">Adelantos (S/)</t>
  </si>
  <si>
    <t xml:space="preserve">CALCULO</t>
  </si>
  <si>
    <t xml:space="preserve">Sueldo computable</t>
  </si>
  <si>
    <t xml:space="preserve">Asignacion familiar</t>
  </si>
  <si>
    <t xml:space="preserve">Valor hora (auxiliar)</t>
  </si>
  <si>
    <t xml:space="preserve">Total remuneraciones</t>
  </si>
  <si>
    <t xml:space="preserve">AFP fondo</t>
  </si>
  <si>
    <t xml:space="preserve">AFP comision</t>
  </si>
  <si>
    <t xml:space="preserve">AFP seguro</t>
  </si>
  <si>
    <t xml:space="preserve">Adelantos (descuento)</t>
  </si>
  <si>
    <t xml:space="preserve">Total descuentos</t>
  </si>
  <si>
    <t xml:space="preserve">NETO A PAGAR</t>
  </si>
  <si>
    <t xml:space="preserve">APORTACIONES DEL EMPLEADOR</t>
  </si>
  <si>
    <t xml:space="preserve">EsSalud (9%)</t>
  </si>
  <si>
    <t xml:space="preserve">Formulas vivas: cambia los datos de entrada y la boleta se recalcula sola.</t>
  </si>
  <si>
    <t xml:space="preserve">Caso</t>
  </si>
  <si>
    <t xml:space="preserve">Sueldo basico</t>
  </si>
  <si>
    <t xml:space="preserve">Dias</t>
  </si>
  <si>
    <t xml:space="preserve">Hijos</t>
  </si>
  <si>
    <t xml:space="preserve">Sistema</t>
  </si>
  <si>
    <t xml:space="preserve">H.extra 25%</t>
  </si>
  <si>
    <t xml:space="preserve">H.extra 35%</t>
  </si>
  <si>
    <t xml:space="preserve">Adelanto</t>
  </si>
  <si>
    <t xml:space="preserve">Sueldo comp.</t>
  </si>
  <si>
    <t xml:space="preserve">Asig. familiar</t>
  </si>
  <si>
    <t xml:space="preserve">H.25% monto</t>
  </si>
  <si>
    <t xml:space="preserve">H.35% monto</t>
  </si>
  <si>
    <t xml:space="preserve">Total remun.</t>
  </si>
  <si>
    <t xml:space="preserve">Total desc.</t>
  </si>
  <si>
    <t xml:space="preserve">EsSalud</t>
  </si>
  <si>
    <t xml:space="preserve">Caso 1 (con respuesta)</t>
  </si>
  <si>
    <t xml:space="preserve">Caso 2 (con respuesta)</t>
  </si>
  <si>
    <t xml:space="preserve">Si</t>
  </si>
  <si>
    <t xml:space="preserve">Caso 3 (con respuesta)</t>
  </si>
  <si>
    <t xml:space="preserve">AFP</t>
  </si>
  <si>
    <t xml:space="preserve">Caso 4 (evaluacion, sin respuesta)</t>
  </si>
  <si>
    <t xml:space="preserve">Caso propio (completar con sueldo real)</t>
  </si>
  <si>
    <t xml:space="preserve">Caso propio: reemplaza sueldo/dias/hijos/sistema con datos de una oferta laboral real (igual o mayor a la RMV). No uses datos personales reales.</t>
  </si>
  <si>
    <t xml:space="preserve">EXPLICACION DE CADA FORMULA (para alguien que no sabe contabilidad)</t>
  </si>
  <si>
    <t xml:space="preserve">Concepto</t>
  </si>
  <si>
    <t xml:space="preserve">Que significa, en palabras</t>
  </si>
  <si>
    <t xml:space="preserve">Formula</t>
  </si>
  <si>
    <t xml:space="preserve">Ejemplo numerico (Caso 1)</t>
  </si>
  <si>
    <t xml:space="preserve">Es cuanto del sueldo del mes le corresponde al trabajador segun los dias que realmente trabajo. Si trabajo el mes completo (30 dias), es el sueldo completo.</t>
  </si>
  <si>
    <t xml:space="preserve">Sueldo basico / 30 x dias laborados</t>
  </si>
  <si>
    <t xml:space="preserve">2,500 / 30 x 30 dias = 2,500.00</t>
  </si>
  <si>
    <t xml:space="preserve">Un monto fijo que se le da al trabajador si tiene hijos, para ayudar con los gastos familiares. Es siempre el mismo monto, sin importar cuantos dias trabajo.</t>
  </si>
  <si>
    <t xml:space="preserve">10% de la RMV, si tiene hijos; si no, es 0</t>
  </si>
  <si>
    <t xml:space="preserve">Caso 1 no tiene hijos -&gt; 0.00</t>
  </si>
  <si>
    <t xml:space="preserve">Horas extra 25% y 35%</t>
  </si>
  <si>
    <t xml:space="preserve">Lo que se paga por cada hora trabajada fuera del horario normal. Las primeras horas extra se pagan 25% mas caras que una hora normal, y las siguientes 35% mas caras.</t>
  </si>
  <si>
    <t xml:space="preserve">(Sueldo basico / 30 / 8) x recargo x horas</t>
  </si>
  <si>
    <t xml:space="preserve">Caso 1 no tiene horas extra -&gt; 0.00</t>
  </si>
  <si>
    <t xml:space="preserve">Es la suma de todo lo que el trabajador gana en el mes, antes de que le descuenten nada.</t>
  </si>
  <si>
    <t xml:space="preserve">Sueldo computable + asignacion familiar + horas extra 25% + horas extra 35%</t>
  </si>
  <si>
    <t xml:space="preserve">2,500.00 + 0.00 + 0.00 + 0.00 = 2,500.00</t>
  </si>
  <si>
    <t xml:space="preserve">Es el dinero que se le descuenta al trabajador para su pension de jubilacion, si eligio el sistema publico (ONP) en vez de una AFP privada.</t>
  </si>
  <si>
    <t xml:space="preserve">13% del total de remuneraciones (solo si eligio ONP)</t>
  </si>
  <si>
    <t xml:space="preserve">2,500.00 x 13% = 325.00</t>
  </si>
  <si>
    <t xml:space="preserve">AFP (fondo, comision, seguro)</t>
  </si>
  <si>
    <t xml:space="preserve">Si el trabajador eligio una AFP privada en vez de ONP, se le descuentan 3 montos distintos: uno va a su fondo de pension, otro es la comision que cobra la AFP por administrar ese fondo, y otro es un seguro.</t>
  </si>
  <si>
    <t xml:space="preserve">Cada uno es un % del total de remuneraciones (solo si eligio AFP)</t>
  </si>
  <si>
    <t xml:space="preserve">Caso 1 eligio ONP -&gt; los 3 son 0.00</t>
  </si>
  <si>
    <t xml:space="preserve">Adelantos</t>
  </si>
  <si>
    <t xml:space="preserve">Dinero que la empresa ya le adelanto al trabajador durante el mes, y que por eso se le descuenta ahora de la boleta.</t>
  </si>
  <si>
    <t xml:space="preserve">El monto que se ingreso, tal cual</t>
  </si>
  <si>
    <t xml:space="preserve">Caso 1 no tuvo adelantos -&gt; 0.00</t>
  </si>
  <si>
    <t xml:space="preserve">Es la suma de todo lo que se le resta al trabajador de su total de remuneraciones.</t>
  </si>
  <si>
    <t xml:space="preserve">ONP (o AFP fondo+comision+seguro) + adelantos</t>
  </si>
  <si>
    <t xml:space="preserve">325.00 + 0.00 = 325.00</t>
  </si>
  <si>
    <t xml:space="preserve">Es el dinero que el trabajador realmente recibe en su cuenta o en efectivo: lo que gano, menos todo lo que se le descuenta.</t>
  </si>
  <si>
    <t xml:space="preserve">Total remuneraciones - total descuentos</t>
  </si>
  <si>
    <t xml:space="preserve">2,500.00 - 325.00 = 2,175.00</t>
  </si>
  <si>
    <t xml:space="preserve">EsSalud (empleador)</t>
  </si>
  <si>
    <t xml:space="preserve">Es un aporte para el seguro de salud del trabajador, pero NO se le descuenta a el: lo paga la empresa, por fuera de la boleta del trabajador.</t>
  </si>
  <si>
    <t xml:space="preserve">9% del total de remuneraciones</t>
  </si>
  <si>
    <t xml:space="preserve">2,500.00 x 9% = 225.00</t>
  </si>
  <si>
    <t xml:space="preserve">ANALISIS - PREGUNTAS</t>
  </si>
  <si>
    <t xml:space="preserve">1. ONP o AFP (Caso 3)</t>
  </si>
  <si>
    <t xml:space="preserve">Total remuneraciones: 3,253.00 (igual en ambos). Con ONP: 3,253.00 x 13% = 422.89 de descuento -&gt; neto 2,630.11. Con AFP Ejemplo: 325.30 + 52.05 + 43.92 = 421.27 -&gt; neto 2,631.73. La AFP deja S/ 1.62 mas este mes (12.95% vs 13%). No basta comparar los porcentajes porque no miden lo mismo: en AFP el 10% es ahorro propio del trabajador (rentabilidad variable), la comision y el seguro son gastos puros; en ONP el 13% no se ahorra, financia el sistema de reparto a cambio de una pension definida por ley. La diferencia de un mes no dice nada sobre el largo plazo (rentabilidad historica, anios para jubilarse, riesgo asumido).</t>
  </si>
  <si>
    <t xml:space="preserve">2. Costo real para la empresa (Caso 3)</t>
  </si>
  <si>
    <t xml:space="preserve">Costo = Total remuneraciones + EsSalud = 3,253.00 + 292.77 = S/ 3,545.77. Del neto con AFP (2,631.73): 2,631.73 / 3,545.77 = 74.22% del costo del trabajador llega a el como neto. El 25.78% restante se reparte entre AFP, adelanto y EsSalud.</t>
  </si>
  <si>
    <t xml:space="preserve">3. Dias laborados (Caso 2, 27 vs. 30 dias)</t>
  </si>
  <si>
    <t xml:space="preserve">Con 27 dias: sueldo computable 1,620.00, total remuneraciones 1,743.00, ONP 226.59, neto 1,516.41 (caso original). Con 30 dias: sueldo computable 1,800.00, total remuneraciones 1,923.00, ONP 249.99, neto 1,673.01. Diferencia en el bruto (remuneraciones): 180.00. Diferencia en el neto: 156.60. El neto sube menos que el bruto porque esos 180 soles extra tambien pasan por el 13% de ONP: solo queda 87% (180.00 x 87% = 156.60, exacto). La asignacion familiar no cambia con los dias, asi que no afecta esta diferencia.</t>
  </si>
  <si>
    <t xml:space="preserve">4. Horas extra (Caso 3)</t>
  </si>
  <si>
    <t xml:space="preserve">Horas extra 25% + 35% = 62.50 + 67.50 = 130.00. Total remuneraciones = 3,253.00. 130.00 / 3,253.00 = 4.00% del total de remuneraciones son horas extra.</t>
  </si>
  <si>
    <t xml:space="preserve">5. Con datos reales</t>
  </si>
  <si>
    <t xml:space="preserve">PENDIENTE: falta el sueldo de una oferta laboral real (con el enlace y la fecha de consulta) para calcular el caso propio y el porcentaje del sueldo bruto que llega al trabajador, y compararlo con el de dos companeros.</t>
  </si>
  <si>
    <t xml:space="preserve">TABLA DE FUENTES</t>
  </si>
  <si>
    <t xml:space="preserve">Dato</t>
  </si>
  <si>
    <t xml:space="preserve">Fecha de consulta</t>
  </si>
  <si>
    <t xml:space="preserve">S/ 1,230.00</t>
  </si>
  <si>
    <t xml:space="preserve">dato del enunciado</t>
  </si>
  <si>
    <t xml:space="preserve">10% de la RMV</t>
  </si>
  <si>
    <t xml:space="preserve">Ley 25129</t>
  </si>
  <si>
    <t xml:space="preserve">13%</t>
  </si>
  <si>
    <t xml:space="preserve">9%</t>
  </si>
  <si>
    <t xml:space="preserve">Ley 26790</t>
  </si>
  <si>
    <t xml:space="preserve">Recargo horas extra</t>
  </si>
  <si>
    <t xml:space="preserve">25% / 35%</t>
  </si>
  <si>
    <t xml:space="preserve">AFP Ejemplo (fondo/comision/seguro)</t>
  </si>
  <si>
    <t xml:space="preserve">10.00% / 1.60% / 1.35%</t>
  </si>
  <si>
    <t xml:space="preserve">Valores de prueba del enunciado; en datos reales usar la SBS</t>
  </si>
  <si>
    <t xml:space="preserve">Sueldo del caso propio</t>
  </si>
  <si>
    <t xml:space="preserve">PENDIENTE</t>
  </si>
  <si>
    <t xml:space="preserve">PENDIENTE (enlace de la oferta)</t>
  </si>
  <si>
    <t xml:space="preserve">QUE ES CADA CONCEPTO (para presentar el trabajo)</t>
  </si>
  <si>
    <t xml:space="preserve">De donde sale / quien lo paga</t>
  </si>
  <si>
    <t xml:space="preserve">Para que sirve</t>
  </si>
  <si>
    <t xml:space="preserve">A que se debe (norma)</t>
  </si>
  <si>
    <t xml:space="preserve">Es el punto de partida: lo que el trabajador y la empresa acordaron pagar por el mes completo.</t>
  </si>
  <si>
    <t xml:space="preserve">Es la base sobre la que se calculan todos los demas conceptos de la boleta.</t>
  </si>
  <si>
    <t xml:space="preserve">Acuerdo laboral (contrato de trabajo)</t>
  </si>
  <si>
    <t xml:space="preserve">Se ajusta del sueldo basico segun los dias realmente trabajados en el mes.</t>
  </si>
  <si>
    <t xml:space="preserve">Paga al trabajador exactamente lo que le corresponde si no laboro el mes completo.</t>
  </si>
  <si>
    <t xml:space="preserve">D.S. 001-98-TR (formato de la boleta de pago)</t>
  </si>
  <si>
    <t xml:space="preserve">No se descuenta: se SUMA al sueldo si el trabajador tiene hijos. Es un monto fijo (10% de la RMV).</t>
  </si>
  <si>
    <t xml:space="preserve">Ayuda economica para trabajadores con carga familiar.</t>
  </si>
  <si>
    <t xml:space="preserve">Horas extra 25% / 35%</t>
  </si>
  <si>
    <t xml:space="preserve">No se descuenta: se SUMA por cada hora trabajada fuera del horario normal.</t>
  </si>
  <si>
    <t xml:space="preserve">Compensa el tiempo extra que el trabajador dedico a la empresa.</t>
  </si>
  <si>
    <t xml:space="preserve">Se DESCUENTA al trabajador (13% del total de remuneraciones), si eligio el sistema publico de pensiones.</t>
  </si>
  <si>
    <t xml:space="preserve">Financia el sistema de reparto: tu aporte no se ahorra a tu nombre, paga las pensiones actuales. A cambio, recibes una pension definida por ley al jubilarte.</t>
  </si>
  <si>
    <t xml:space="preserve">AFP - Fondo</t>
  </si>
  <si>
    <t xml:space="preserve">Se DESCUENTA al trabajador (10.00%), si eligio una AFP privada.</t>
  </si>
  <si>
    <t xml:space="preserve">Es tu ahorro personal para la jubilacion; la AFP lo invierte y puede generar (o perder) rentabilidad.</t>
  </si>
  <si>
    <t xml:space="preserve">Sistema Privado de Pensiones (SPP)</t>
  </si>
  <si>
    <t xml:space="preserve">AFP - Comision</t>
  </si>
  <si>
    <t xml:space="preserve">Se DESCUENTA al trabajador (1.60%), si eligio una AFP privada.</t>
  </si>
  <si>
    <t xml:space="preserve">Es lo que cobra la AFP por administrar tu cuenta y tus inversiones. Es un gasto, no se recupera.</t>
  </si>
  <si>
    <t xml:space="preserve">AFP - Seguro</t>
  </si>
  <si>
    <t xml:space="preserve">Se DESCUENTA al trabajador (1.35%), si eligio una AFP privada.</t>
  </si>
  <si>
    <t xml:space="preserve">Cubre al trabajador y su familia en caso de invalidez o fallecimiento.</t>
  </si>
  <si>
    <t xml:space="preserve">Se DESCUENTA al trabajador el monto que se ingreso, tal cual.</t>
  </si>
  <si>
    <t xml:space="preserve">Es dinero que la empresa ya le entrego al trabajador durante el mes (un anticipo sobre su propio sueldo); por eso se resta ahora.</t>
  </si>
  <si>
    <t xml:space="preserve">Acuerdo laboral</t>
  </si>
  <si>
    <t xml:space="preserve">NO se descuenta al trabajador: lo paga la EMPRESA, aparte de la boleta.</t>
  </si>
  <si>
    <t xml:space="preserve">Financia el seguro de salud del trabajador (consultas, hospitalizacion, emergencias).</t>
  </si>
  <si>
    <t xml:space="preserve">Renta de 5ta categoria (Nivel 3)</t>
  </si>
  <si>
    <t xml:space="preserve">Se DESCUENTA al trabajador solo si su sueldo anual proyectado supera las 7 UIT exoneradas.</t>
  </si>
  <si>
    <t xml:space="preserve">Es el impuesto a la renta por trabajo dependiente; lo recauda el Estado a traves de SUNAT.</t>
  </si>
  <si>
    <t xml:space="preserve">Ley del Impuesto a la Renta (SUNAT)</t>
  </si>
  <si>
    <t xml:space="preserve">Verde = ingreso (se suma)</t>
  </si>
  <si>
    <t xml:space="preserve">Rojo = descuento (se resta al trabajador)</t>
  </si>
  <si>
    <t xml:space="preserve">Gris = aporte del empleador (no afecta el neto)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</si>
</sst>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0\ %"/>
    <numFmt numFmtId="167" formatCode="0.00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E4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5" t="n">
        <v>1230</v>
      </c>
      <c r="C4" s="6" t="s">
        <v>5</v>
      </c>
    </row>
    <row r="5" customFormat="false" ht="15" hidden="false" customHeight="true" outlineLevel="0" collapsed="false">
      <c r="A5" s="4" t="s">
        <v>6</v>
      </c>
      <c r="B5" s="7" t="n">
        <v>0.1</v>
      </c>
      <c r="C5" s="6" t="s">
        <v>7</v>
      </c>
    </row>
    <row r="6" customFormat="false" ht="15" hidden="false" customHeight="true" outlineLevel="0" collapsed="false">
      <c r="A6" s="4" t="s">
        <v>8</v>
      </c>
      <c r="B6" s="7" t="n">
        <v>0.13</v>
      </c>
      <c r="C6" s="6" t="s">
        <v>9</v>
      </c>
    </row>
    <row r="7" customFormat="false" ht="15" hidden="false" customHeight="true" outlineLevel="0" collapsed="false">
      <c r="A7" s="4" t="s">
        <v>10</v>
      </c>
      <c r="B7" s="7" t="n">
        <v>0.09</v>
      </c>
      <c r="C7" s="6" t="s">
        <v>11</v>
      </c>
    </row>
    <row r="8" customFormat="false" ht="15" hidden="false" customHeight="true" outlineLevel="0" collapsed="false">
      <c r="A8" s="4" t="s">
        <v>12</v>
      </c>
      <c r="B8" s="8" t="n">
        <v>1.25</v>
      </c>
      <c r="C8" s="6" t="s">
        <v>13</v>
      </c>
    </row>
    <row r="9" customFormat="false" ht="15" hidden="false" customHeight="true" outlineLevel="0" collapsed="false">
      <c r="A9" s="4" t="s">
        <v>14</v>
      </c>
      <c r="B9" s="8" t="n">
        <v>1.35</v>
      </c>
      <c r="C9" s="6" t="s">
        <v>13</v>
      </c>
    </row>
    <row r="10" customFormat="false" ht="15" hidden="false" customHeight="true" outlineLevel="0" collapsed="false">
      <c r="A10" s="4" t="s">
        <v>15</v>
      </c>
      <c r="B10" s="7" t="n">
        <v>0.1</v>
      </c>
      <c r="C10" s="6" t="s">
        <v>16</v>
      </c>
    </row>
    <row r="11" customFormat="false" ht="15" hidden="false" customHeight="true" outlineLevel="0" collapsed="false">
      <c r="A11" s="4" t="s">
        <v>17</v>
      </c>
      <c r="B11" s="7" t="n">
        <v>0.016</v>
      </c>
      <c r="C11" s="6" t="s">
        <v>16</v>
      </c>
    </row>
    <row r="12" customFormat="false" ht="15" hidden="false" customHeight="true" outlineLevel="0" collapsed="false">
      <c r="A12" s="4" t="s">
        <v>18</v>
      </c>
      <c r="B12" s="7" t="n">
        <v>0.0135</v>
      </c>
      <c r="C12" s="6" t="s">
        <v>16</v>
      </c>
    </row>
    <row r="13" customFormat="false" ht="27.75" hidden="false" customHeight="true" outlineLevel="0" collapsed="false">
      <c r="A13" s="9" t="s">
        <v>19</v>
      </c>
      <c r="B13" s="9"/>
      <c r="C13" s="9"/>
    </row>
  </sheetData>
  <mergeCells count="2">
    <mergeCell ref="A1:C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5"/>
  </cols>
  <sheetData>
    <row r="1" customFormat="false" ht="17.25" hidden="false" customHeight="true" outlineLevel="0" collapsed="false">
      <c r="A1" s="2" t="s">
        <v>20</v>
      </c>
      <c r="B1" s="2"/>
      <c r="C1" s="2"/>
    </row>
    <row r="2" customFormat="false" ht="15" hidden="false" customHeight="true" outlineLevel="0" collapsed="false">
      <c r="A2" s="9" t="s">
        <v>21</v>
      </c>
      <c r="B2" s="9"/>
      <c r="C2" s="9"/>
    </row>
    <row r="4" customFormat="false" ht="15" hidden="false" customHeight="true" outlineLevel="0" collapsed="false">
      <c r="A4" s="10" t="s">
        <v>22</v>
      </c>
      <c r="B4" s="10"/>
      <c r="C4" s="10"/>
    </row>
    <row r="5" customFormat="false" ht="15" hidden="false" customHeight="true" outlineLevel="0" collapsed="false">
      <c r="A5" s="4" t="s">
        <v>23</v>
      </c>
      <c r="B5" s="5" t="n">
        <v>2500</v>
      </c>
    </row>
    <row r="6" customFormat="false" ht="15" hidden="false" customHeight="true" outlineLevel="0" collapsed="false">
      <c r="A6" s="4" t="s">
        <v>24</v>
      </c>
      <c r="B6" s="11" t="n">
        <v>30</v>
      </c>
    </row>
    <row r="7" customFormat="false" ht="15" hidden="false" customHeight="true" outlineLevel="0" collapsed="false">
      <c r="A7" s="4" t="s">
        <v>25</v>
      </c>
      <c r="B7" s="12" t="s">
        <v>26</v>
      </c>
    </row>
    <row r="8" customFormat="false" ht="15" hidden="false" customHeight="true" outlineLevel="0" collapsed="false">
      <c r="A8" s="4" t="s">
        <v>27</v>
      </c>
      <c r="B8" s="12" t="s">
        <v>28</v>
      </c>
    </row>
    <row r="9" customFormat="false" ht="15" hidden="false" customHeight="true" outlineLevel="0" collapsed="false">
      <c r="A9" s="4" t="s">
        <v>29</v>
      </c>
      <c r="B9" s="8" t="n">
        <v>0</v>
      </c>
    </row>
    <row r="10" customFormat="false" ht="15" hidden="false" customHeight="true" outlineLevel="0" collapsed="false">
      <c r="A10" s="4" t="s">
        <v>30</v>
      </c>
      <c r="B10" s="8" t="n">
        <v>0</v>
      </c>
    </row>
    <row r="11" customFormat="false" ht="15" hidden="false" customHeight="true" outlineLevel="0" collapsed="false">
      <c r="A11" s="4" t="s">
        <v>31</v>
      </c>
      <c r="B11" s="5" t="n">
        <v>0</v>
      </c>
    </row>
    <row r="13" customFormat="false" ht="15" hidden="false" customHeight="true" outlineLevel="0" collapsed="false">
      <c r="A13" s="10" t="s">
        <v>32</v>
      </c>
      <c r="B13" s="10"/>
      <c r="C13" s="10"/>
    </row>
    <row r="14" customFormat="false" ht="15" hidden="false" customHeight="true" outlineLevel="0" collapsed="false">
      <c r="A14" s="4" t="s">
        <v>33</v>
      </c>
      <c r="B14" s="13" t="n">
        <f aca="false">ROUND(B5/30*B6,2)</f>
        <v>2500</v>
      </c>
    </row>
    <row r="15" customFormat="false" ht="15" hidden="false" customHeight="true" outlineLevel="0" collapsed="false">
      <c r="A15" s="4" t="s">
        <v>34</v>
      </c>
      <c r="B15" s="13" t="n">
        <f aca="false">ROUND(IF(B7="Si",RMV*PCT_ASIG_FAM,0),2)</f>
        <v>0</v>
      </c>
    </row>
    <row r="16" customFormat="false" ht="15" hidden="false" customHeight="true" outlineLevel="0" collapsed="false">
      <c r="A16" s="4" t="s">
        <v>35</v>
      </c>
      <c r="B16" s="13" t="n">
        <f aca="false">B5/30/8</f>
        <v>10.4166666666667</v>
      </c>
    </row>
    <row r="17" customFormat="false" ht="15" hidden="false" customHeight="true" outlineLevel="0" collapsed="false">
      <c r="A17" s="4" t="s">
        <v>29</v>
      </c>
      <c r="B17" s="13" t="n">
        <f aca="false">ROUND(B16*REC_25*B9,2)</f>
        <v>0</v>
      </c>
    </row>
    <row r="18" customFormat="false" ht="15" hidden="false" customHeight="true" outlineLevel="0" collapsed="false">
      <c r="A18" s="4" t="s">
        <v>30</v>
      </c>
      <c r="B18" s="13" t="n">
        <f aca="false">ROUND(B16*REC_35*B10,2)</f>
        <v>0</v>
      </c>
    </row>
    <row r="19" customFormat="false" ht="15" hidden="false" customHeight="true" outlineLevel="0" collapsed="false">
      <c r="A19" s="14" t="s">
        <v>36</v>
      </c>
      <c r="B19" s="15" t="n">
        <f aca="false">B14+B15+B17+B18</f>
        <v>2500</v>
      </c>
    </row>
    <row r="20" customFormat="false" ht="15" hidden="false" customHeight="true" outlineLevel="0" collapsed="false">
      <c r="A20" s="4" t="s">
        <v>28</v>
      </c>
      <c r="B20" s="13" t="n">
        <f aca="false">IF(B8="ONP",ROUND(B19*PCT_ONP,2),0)</f>
        <v>325</v>
      </c>
    </row>
    <row r="21" customFormat="false" ht="15" hidden="false" customHeight="true" outlineLevel="0" collapsed="false">
      <c r="A21" s="4" t="s">
        <v>37</v>
      </c>
      <c r="B21" s="13" t="n">
        <f aca="false">IF(B8="AFP",ROUND(B19*AFP_FONDO,2),0)</f>
        <v>0</v>
      </c>
    </row>
    <row r="22" customFormat="false" ht="15" hidden="false" customHeight="true" outlineLevel="0" collapsed="false">
      <c r="A22" s="4" t="s">
        <v>38</v>
      </c>
      <c r="B22" s="13" t="n">
        <f aca="false">IF(B8="AFP",ROUND(B19*AFP_COMISION,2),0)</f>
        <v>0</v>
      </c>
    </row>
    <row r="23" customFormat="false" ht="15" hidden="false" customHeight="true" outlineLevel="0" collapsed="false">
      <c r="A23" s="4" t="s">
        <v>39</v>
      </c>
      <c r="B23" s="13" t="n">
        <f aca="false">IF(B8="AFP",ROUND(B19*AFP_SEGURO,2),0)</f>
        <v>0</v>
      </c>
    </row>
    <row r="24" customFormat="false" ht="15" hidden="false" customHeight="true" outlineLevel="0" collapsed="false">
      <c r="A24" s="4" t="s">
        <v>40</v>
      </c>
      <c r="B24" s="13" t="n">
        <f aca="false">B11</f>
        <v>0</v>
      </c>
    </row>
    <row r="25" customFormat="false" ht="15" hidden="false" customHeight="true" outlineLevel="0" collapsed="false">
      <c r="A25" s="4" t="s">
        <v>41</v>
      </c>
      <c r="B25" s="13" t="n">
        <f aca="false">B20+B21+B22+B23+B24</f>
        <v>325</v>
      </c>
    </row>
    <row r="26" customFormat="false" ht="15" hidden="false" customHeight="true" outlineLevel="0" collapsed="false">
      <c r="A26" s="14" t="s">
        <v>42</v>
      </c>
      <c r="B26" s="15" t="n">
        <f aca="false">B19-B25</f>
        <v>2175</v>
      </c>
    </row>
    <row r="28" customFormat="false" ht="15" hidden="false" customHeight="true" outlineLevel="0" collapsed="false">
      <c r="A28" s="10" t="s">
        <v>43</v>
      </c>
      <c r="B28" s="10"/>
      <c r="C28" s="10"/>
    </row>
    <row r="29" customFormat="false" ht="15" hidden="false" customHeight="true" outlineLevel="0" collapsed="false">
      <c r="A29" s="4" t="s">
        <v>44</v>
      </c>
      <c r="B29" s="13" t="n">
        <f aca="false">ROUND(B19*PCT_ESSALUD,2)</f>
        <v>225</v>
      </c>
    </row>
    <row r="31" customFormat="false" ht="27.75" hidden="false" customHeight="true" outlineLevel="0" collapsed="false">
      <c r="A31" s="9" t="s">
        <v>45</v>
      </c>
      <c r="B31" s="9"/>
      <c r="C31" s="9"/>
    </row>
  </sheetData>
  <mergeCells count="6">
    <mergeCell ref="A1:C1"/>
    <mergeCell ref="A2:C2"/>
    <mergeCell ref="A4:C4"/>
    <mergeCell ref="A13:C13"/>
    <mergeCell ref="A28:C28"/>
    <mergeCell ref="A31:C31"/>
  </mergeCells>
  <dataValidations count="2">
    <dataValidation allowBlank="false" errorStyle="stop" operator="between" showDropDown="false" showErrorMessage="false" showInputMessage="false" sqref="B7" type="list">
      <formula1>"No,Si"</formula1>
      <formula2>0</formula2>
    </dataValidation>
    <dataValidation allowBlank="false" errorStyle="stop" operator="between" showDropDown="false" showErrorMessage="false" showInputMessage="false" sqref="B8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3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8" min="6" style="1" width="11"/>
    <col collapsed="false" customWidth="true" hidden="false" outlineLevel="0" max="10" min="9" style="1" width="12"/>
    <col collapsed="false" customWidth="true" hidden="false" outlineLevel="0" max="12" min="11" style="1" width="11"/>
    <col collapsed="false" customWidth="true" hidden="false" outlineLevel="0" max="13" min="13" style="1" width="13"/>
    <col collapsed="false" customWidth="true" hidden="false" outlineLevel="0" max="15" min="14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8" min="18" style="1" width="12"/>
    <col collapsed="false" customWidth="true" hidden="false" outlineLevel="0" max="19" min="19" style="1" width="14"/>
    <col collapsed="false" customWidth="true" hidden="false" outlineLevel="0" max="20" min="20" style="1" width="10"/>
  </cols>
  <sheetData>
    <row r="1" customFormat="false" ht="30" hidden="false" customHeight="true" outlineLevel="0" collapsed="false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28</v>
      </c>
      <c r="O1" s="16" t="s">
        <v>37</v>
      </c>
      <c r="P1" s="16" t="s">
        <v>38</v>
      </c>
      <c r="Q1" s="16" t="s">
        <v>39</v>
      </c>
      <c r="R1" s="16" t="s">
        <v>59</v>
      </c>
      <c r="S1" s="16" t="s">
        <v>42</v>
      </c>
      <c r="T1" s="16" t="s">
        <v>60</v>
      </c>
    </row>
    <row r="2" customFormat="false" ht="15" hidden="false" customHeight="true" outlineLevel="0" collapsed="false">
      <c r="A2" s="4" t="s">
        <v>61</v>
      </c>
      <c r="B2" s="17" t="n">
        <v>2500</v>
      </c>
      <c r="C2" s="18" t="n">
        <v>30</v>
      </c>
      <c r="D2" s="19" t="s">
        <v>26</v>
      </c>
      <c r="E2" s="19" t="s">
        <v>28</v>
      </c>
      <c r="F2" s="20" t="n">
        <v>0</v>
      </c>
      <c r="G2" s="20" t="n">
        <v>0</v>
      </c>
      <c r="H2" s="17" t="n">
        <v>0</v>
      </c>
      <c r="I2" s="13" t="n">
        <f aca="false">ROUND(B2/30*C2,2)</f>
        <v>2500</v>
      </c>
      <c r="J2" s="13" t="n">
        <f aca="false">ROUND(IF(D2="Si",RMV*PCT_ASIG_FAM,0),2)</f>
        <v>0</v>
      </c>
      <c r="K2" s="13" t="n">
        <f aca="false">ROUND((B2/30/8)*REC_25*F2,2)</f>
        <v>0</v>
      </c>
      <c r="L2" s="13" t="n">
        <f aca="false">ROUND((B2/30/8)*REC_35*G2,2)</f>
        <v>0</v>
      </c>
      <c r="M2" s="15" t="n">
        <f aca="false">I2+J2+K2+L2</f>
        <v>2500</v>
      </c>
      <c r="N2" s="13" t="n">
        <f aca="false">IF(E2="ONP",ROUND(M2*PCT_ONP,2),0)</f>
        <v>325</v>
      </c>
      <c r="O2" s="13" t="n">
        <f aca="false">IF(E2="AFP",ROUND(M2*AFP_FONDO,2),0)</f>
        <v>0</v>
      </c>
      <c r="P2" s="13" t="n">
        <f aca="false">IF(E2="AFP",ROUND(M2*AFP_COMISION,2),0)</f>
        <v>0</v>
      </c>
      <c r="Q2" s="13" t="n">
        <f aca="false">IF(E2="AFP",ROUND(M2*AFP_SEGURO,2),0)</f>
        <v>0</v>
      </c>
      <c r="R2" s="13" t="n">
        <f aca="false">N2+O2+P2+Q2+H2</f>
        <v>325</v>
      </c>
      <c r="S2" s="15" t="n">
        <f aca="false">M2-R2</f>
        <v>2175</v>
      </c>
      <c r="T2" s="13" t="n">
        <f aca="false">ROUND(M2*PCT_ESSALUD,2)</f>
        <v>225</v>
      </c>
    </row>
    <row r="3" customFormat="false" ht="15" hidden="false" customHeight="true" outlineLevel="0" collapsed="false">
      <c r="A3" s="4" t="s">
        <v>62</v>
      </c>
      <c r="B3" s="17" t="n">
        <v>1800</v>
      </c>
      <c r="C3" s="18" t="n">
        <v>27</v>
      </c>
      <c r="D3" s="19" t="s">
        <v>63</v>
      </c>
      <c r="E3" s="19" t="s">
        <v>28</v>
      </c>
      <c r="F3" s="20" t="n">
        <v>0</v>
      </c>
      <c r="G3" s="20" t="n">
        <v>0</v>
      </c>
      <c r="H3" s="17" t="n">
        <v>0</v>
      </c>
      <c r="I3" s="13" t="n">
        <f aca="false">ROUND(B3/30*C3,2)</f>
        <v>1620</v>
      </c>
      <c r="J3" s="13" t="n">
        <f aca="false">ROUND(IF(D3="Si",RMV*PCT_ASIG_FAM,0),2)</f>
        <v>123</v>
      </c>
      <c r="K3" s="13" t="n">
        <f aca="false">ROUND((B3/30/8)*REC_25*F3,2)</f>
        <v>0</v>
      </c>
      <c r="L3" s="13" t="n">
        <f aca="false">ROUND((B3/30/8)*REC_35*G3,2)</f>
        <v>0</v>
      </c>
      <c r="M3" s="15" t="n">
        <f aca="false">I3+J3+K3+L3</f>
        <v>1743</v>
      </c>
      <c r="N3" s="13" t="n">
        <f aca="false">IF(E3="ONP",ROUND(M3*PCT_ONP,2),0)</f>
        <v>226.59</v>
      </c>
      <c r="O3" s="13" t="n">
        <f aca="false">IF(E3="AFP",ROUND(M3*AFP_FONDO,2),0)</f>
        <v>0</v>
      </c>
      <c r="P3" s="13" t="n">
        <f aca="false">IF(E3="AFP",ROUND(M3*AFP_COMISION,2),0)</f>
        <v>0</v>
      </c>
      <c r="Q3" s="13" t="n">
        <f aca="false">IF(E3="AFP",ROUND(M3*AFP_SEGURO,2),0)</f>
        <v>0</v>
      </c>
      <c r="R3" s="13" t="n">
        <f aca="false">N3+O3+P3+Q3+H3</f>
        <v>226.59</v>
      </c>
      <c r="S3" s="15" t="n">
        <f aca="false">M3-R3</f>
        <v>1516.41</v>
      </c>
      <c r="T3" s="13" t="n">
        <f aca="false">ROUND(M3*PCT_ESSALUD,2)</f>
        <v>156.87</v>
      </c>
    </row>
    <row r="4" customFormat="false" ht="15" hidden="false" customHeight="true" outlineLevel="0" collapsed="false">
      <c r="A4" s="4" t="s">
        <v>64</v>
      </c>
      <c r="B4" s="17" t="n">
        <v>3000</v>
      </c>
      <c r="C4" s="18" t="n">
        <v>30</v>
      </c>
      <c r="D4" s="19" t="s">
        <v>63</v>
      </c>
      <c r="E4" s="19" t="s">
        <v>65</v>
      </c>
      <c r="F4" s="20" t="n">
        <v>4</v>
      </c>
      <c r="G4" s="20" t="n">
        <v>4</v>
      </c>
      <c r="H4" s="17" t="n">
        <v>200</v>
      </c>
      <c r="I4" s="13" t="n">
        <f aca="false">ROUND(B4/30*C4,2)</f>
        <v>3000</v>
      </c>
      <c r="J4" s="13" t="n">
        <f aca="false">ROUND(IF(D4="Si",RMV*PCT_ASIG_FAM,0),2)</f>
        <v>123</v>
      </c>
      <c r="K4" s="13" t="n">
        <f aca="false">ROUND((B4/30/8)*REC_25*F4,2)</f>
        <v>62.5</v>
      </c>
      <c r="L4" s="13" t="n">
        <f aca="false">ROUND((B4/30/8)*REC_35*G4,2)</f>
        <v>67.5</v>
      </c>
      <c r="M4" s="15" t="n">
        <f aca="false">I4+J4+K4+L4</f>
        <v>3253</v>
      </c>
      <c r="N4" s="13" t="n">
        <f aca="false">IF(E4="ONP",ROUND(M4*PCT_ONP,2),0)</f>
        <v>0</v>
      </c>
      <c r="O4" s="13" t="n">
        <f aca="false">IF(E4="AFP",ROUND(M4*AFP_FONDO,2),0)</f>
        <v>325.3</v>
      </c>
      <c r="P4" s="13" t="n">
        <f aca="false">IF(E4="AFP",ROUND(M4*AFP_COMISION,2),0)</f>
        <v>52.05</v>
      </c>
      <c r="Q4" s="13" t="n">
        <f aca="false">IF(E4="AFP",ROUND(M4*AFP_SEGURO,2),0)</f>
        <v>43.92</v>
      </c>
      <c r="R4" s="13" t="n">
        <f aca="false">N4+O4+P4+Q4+H4</f>
        <v>621.27</v>
      </c>
      <c r="S4" s="15" t="n">
        <f aca="false">M4-R4</f>
        <v>2631.73</v>
      </c>
      <c r="T4" s="13" t="n">
        <f aca="false">ROUND(M4*PCT_ESSALUD,2)</f>
        <v>292.77</v>
      </c>
    </row>
    <row r="5" customFormat="false" ht="15" hidden="false" customHeight="true" outlineLevel="0" collapsed="false">
      <c r="A5" s="4" t="s">
        <v>66</v>
      </c>
      <c r="B5" s="17" t="n">
        <v>4200</v>
      </c>
      <c r="C5" s="18" t="n">
        <v>24</v>
      </c>
      <c r="D5" s="19" t="s">
        <v>63</v>
      </c>
      <c r="E5" s="19" t="s">
        <v>65</v>
      </c>
      <c r="F5" s="20" t="n">
        <v>2</v>
      </c>
      <c r="G5" s="20" t="n">
        <v>2</v>
      </c>
      <c r="H5" s="17" t="n">
        <v>100</v>
      </c>
      <c r="I5" s="13" t="n">
        <f aca="false">ROUND(B5/30*C5,2)</f>
        <v>3360</v>
      </c>
      <c r="J5" s="13" t="n">
        <f aca="false">ROUND(IF(D5="Si",RMV*PCT_ASIG_FAM,0),2)</f>
        <v>123</v>
      </c>
      <c r="K5" s="13" t="n">
        <f aca="false">ROUND((B5/30/8)*REC_25*F5,2)</f>
        <v>43.75</v>
      </c>
      <c r="L5" s="13" t="n">
        <f aca="false">ROUND((B5/30/8)*REC_35*G5,2)</f>
        <v>47.25</v>
      </c>
      <c r="M5" s="15" t="n">
        <f aca="false">I5+J5+K5+L5</f>
        <v>3574</v>
      </c>
      <c r="N5" s="13" t="n">
        <f aca="false">IF(E5="ONP",ROUND(M5*PCT_ONP,2),0)</f>
        <v>0</v>
      </c>
      <c r="O5" s="13" t="n">
        <f aca="false">IF(E5="AFP",ROUND(M5*AFP_FONDO,2),0)</f>
        <v>357.4</v>
      </c>
      <c r="P5" s="13" t="n">
        <f aca="false">IF(E5="AFP",ROUND(M5*AFP_COMISION,2),0)</f>
        <v>57.18</v>
      </c>
      <c r="Q5" s="13" t="n">
        <f aca="false">IF(E5="AFP",ROUND(M5*AFP_SEGURO,2),0)</f>
        <v>48.25</v>
      </c>
      <c r="R5" s="13" t="n">
        <f aca="false">N5+O5+P5+Q5+H5</f>
        <v>562.83</v>
      </c>
      <c r="S5" s="15" t="n">
        <f aca="false">M5-R5</f>
        <v>3011.17</v>
      </c>
      <c r="T5" s="13" t="n">
        <f aca="false">ROUND(M5*PCT_ESSALUD,2)</f>
        <v>321.66</v>
      </c>
    </row>
    <row r="6" customFormat="false" ht="15" hidden="false" customHeight="true" outlineLevel="0" collapsed="false">
      <c r="A6" s="4" t="s">
        <v>67</v>
      </c>
      <c r="B6" s="17"/>
      <c r="C6" s="18"/>
      <c r="D6" s="19" t="s">
        <v>26</v>
      </c>
      <c r="E6" s="19" t="s">
        <v>28</v>
      </c>
      <c r="F6" s="20" t="n">
        <v>0</v>
      </c>
      <c r="G6" s="20" t="n">
        <v>0</v>
      </c>
      <c r="H6" s="17" t="n">
        <v>0</v>
      </c>
      <c r="I6" s="13" t="n">
        <f aca="false">ROUND(B6/30*C6,2)</f>
        <v>0</v>
      </c>
      <c r="J6" s="13" t="n">
        <f aca="false">ROUND(IF(D6="Si",RMV*PCT_ASIG_FAM,0),2)</f>
        <v>0</v>
      </c>
      <c r="K6" s="13" t="n">
        <f aca="false">ROUND((B6/30/8)*REC_25*F6,2)</f>
        <v>0</v>
      </c>
      <c r="L6" s="13" t="n">
        <f aca="false">ROUND((B6/30/8)*REC_35*G6,2)</f>
        <v>0</v>
      </c>
      <c r="M6" s="15" t="n">
        <f aca="false">I6+J6+K6+L6</f>
        <v>0</v>
      </c>
      <c r="N6" s="13" t="n">
        <f aca="false">IF(E6="ONP",ROUND(M6*PCT_ONP,2),0)</f>
        <v>0</v>
      </c>
      <c r="O6" s="13" t="n">
        <f aca="false">IF(E6="AFP",ROUND(M6*AFP_FONDO,2),0)</f>
        <v>0</v>
      </c>
      <c r="P6" s="13" t="n">
        <f aca="false">IF(E6="AFP",ROUND(M6*AFP_COMISION,2),0)</f>
        <v>0</v>
      </c>
      <c r="Q6" s="13" t="n">
        <f aca="false">IF(E6="AFP",ROUND(M6*AFP_SEGURO,2),0)</f>
        <v>0</v>
      </c>
      <c r="R6" s="13" t="n">
        <f aca="false">N6+O6+P6+Q6+H6</f>
        <v>0</v>
      </c>
      <c r="S6" s="15" t="n">
        <f aca="false">M6-R6</f>
        <v>0</v>
      </c>
      <c r="T6" s="13" t="n">
        <f aca="false">ROUND(M6*PCT_ESSALUD,2)</f>
        <v>0</v>
      </c>
    </row>
    <row r="8" customFormat="false" ht="15" hidden="false" customHeight="true" outlineLevel="0" collapsed="false">
      <c r="A8" s="9" t="s">
        <v>68</v>
      </c>
      <c r="B8" s="9"/>
      <c r="C8" s="9"/>
      <c r="D8" s="9"/>
      <c r="E8" s="9"/>
      <c r="F8" s="9"/>
      <c r="G8" s="9"/>
      <c r="H8" s="9"/>
    </row>
  </sheetData>
  <mergeCells count="1">
    <mergeCell ref="A8:H8"/>
  </mergeCells>
  <dataValidations count="10">
    <dataValidation allowBlank="false" errorStyle="stop" operator="between" showDropDown="false" showErrorMessage="false" showInputMessage="false" sqref="D2" type="list">
      <formula1>"No,Si"</formula1>
      <formula2>0</formula2>
    </dataValidation>
    <dataValidation allowBlank="false" errorStyle="stop" operator="between" showDropDown="false" showErrorMessage="false" showInputMessage="false" sqref="E2" type="list">
      <formula1>"ONP,AFP"</formula1>
      <formula2>0</formula2>
    </dataValidation>
    <dataValidation allowBlank="false" errorStyle="stop" operator="between" showDropDown="false" showErrorMessage="false" showInputMessage="false" sqref="D3" type="list">
      <formula1>"No,Si"</formula1>
      <formula2>0</formula2>
    </dataValidation>
    <dataValidation allowBlank="false" errorStyle="stop" operator="between" showDropDown="false" showErrorMessage="false" showInputMessage="false" sqref="E3" type="list">
      <formula1>"ONP,AFP"</formula1>
      <formula2>0</formula2>
    </dataValidation>
    <dataValidation allowBlank="false" errorStyle="stop" operator="between" showDropDown="false" showErrorMessage="false" showInputMessage="false" sqref="D4" type="list">
      <formula1>"No,Si"</formula1>
      <formula2>0</formula2>
    </dataValidation>
    <dataValidation allowBlank="false" errorStyle="stop" operator="between" showDropDown="false" showErrorMessage="false" showInputMessage="false" sqref="E4" type="list">
      <formula1>"ONP,AFP"</formula1>
      <formula2>0</formula2>
    </dataValidation>
    <dataValidation allowBlank="false" errorStyle="stop" operator="between" showDropDown="false" showErrorMessage="false" showInputMessage="false" sqref="D5" type="list">
      <formula1>"No,Si"</formula1>
      <formula2>0</formula2>
    </dataValidation>
    <dataValidation allowBlank="false" errorStyle="stop" operator="between" showDropDown="false" showErrorMessage="false" showInputMessage="false" sqref="E5" type="list">
      <formula1>"ONP,AFP"</formula1>
      <formula2>0</formula2>
    </dataValidation>
    <dataValidation allowBlank="false" errorStyle="stop" operator="between" showDropDown="false" showErrorMessage="false" showInputMessage="false" sqref="D6" type="list">
      <formula1>"No,Si"</formula1>
      <formula2>0</formula2>
    </dataValidation>
    <dataValidation allowBlank="false" errorStyle="stop" operator="between" showDropDown="false" showErrorMessage="false" showInputMessage="false" sqref="E6" type="list">
      <formula1>"ONP,AFP"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4" min="3" style="1" width="30"/>
  </cols>
  <sheetData>
    <row r="1" customFormat="false" ht="17.25" hidden="false" customHeight="true" outlineLevel="0" collapsed="false">
      <c r="A1" s="2" t="s">
        <v>69</v>
      </c>
      <c r="B1" s="2"/>
      <c r="C1" s="2"/>
      <c r="D1" s="2"/>
    </row>
    <row r="3" customFormat="false" ht="24" hidden="false" customHeight="true" outlineLevel="0" collapsed="false">
      <c r="A3" s="16" t="s">
        <v>70</v>
      </c>
      <c r="B3" s="16" t="s">
        <v>71</v>
      </c>
      <c r="C3" s="16" t="s">
        <v>72</v>
      </c>
      <c r="D3" s="16" t="s">
        <v>73</v>
      </c>
    </row>
    <row r="4" customFormat="false" ht="45.75" hidden="false" customHeight="true" outlineLevel="0" collapsed="false">
      <c r="A4" s="21" t="s">
        <v>33</v>
      </c>
      <c r="B4" s="22" t="s">
        <v>74</v>
      </c>
      <c r="C4" s="22" t="s">
        <v>75</v>
      </c>
      <c r="D4" s="22" t="s">
        <v>76</v>
      </c>
    </row>
    <row r="5" customFormat="false" ht="45.75" hidden="false" customHeight="true" outlineLevel="0" collapsed="false">
      <c r="A5" s="21" t="s">
        <v>34</v>
      </c>
      <c r="B5" s="22" t="s">
        <v>77</v>
      </c>
      <c r="C5" s="22" t="s">
        <v>78</v>
      </c>
      <c r="D5" s="22" t="s">
        <v>79</v>
      </c>
    </row>
    <row r="6" customFormat="false" ht="45.75" hidden="false" customHeight="true" outlineLevel="0" collapsed="false">
      <c r="A6" s="21" t="s">
        <v>80</v>
      </c>
      <c r="B6" s="22" t="s">
        <v>81</v>
      </c>
      <c r="C6" s="22" t="s">
        <v>82</v>
      </c>
      <c r="D6" s="22" t="s">
        <v>83</v>
      </c>
    </row>
    <row r="7" customFormat="false" ht="45.75" hidden="false" customHeight="true" outlineLevel="0" collapsed="false">
      <c r="A7" s="21" t="s">
        <v>36</v>
      </c>
      <c r="B7" s="22" t="s">
        <v>84</v>
      </c>
      <c r="C7" s="22" t="s">
        <v>85</v>
      </c>
      <c r="D7" s="22" t="s">
        <v>86</v>
      </c>
    </row>
    <row r="8" customFormat="false" ht="45.75" hidden="false" customHeight="true" outlineLevel="0" collapsed="false">
      <c r="A8" s="21" t="s">
        <v>28</v>
      </c>
      <c r="B8" s="22" t="s">
        <v>87</v>
      </c>
      <c r="C8" s="22" t="s">
        <v>88</v>
      </c>
      <c r="D8" s="22" t="s">
        <v>89</v>
      </c>
    </row>
    <row r="9" customFormat="false" ht="45.75" hidden="false" customHeight="true" outlineLevel="0" collapsed="false">
      <c r="A9" s="21" t="s">
        <v>90</v>
      </c>
      <c r="B9" s="22" t="s">
        <v>91</v>
      </c>
      <c r="C9" s="22" t="s">
        <v>92</v>
      </c>
      <c r="D9" s="22" t="s">
        <v>93</v>
      </c>
    </row>
    <row r="10" customFormat="false" ht="45.75" hidden="false" customHeight="true" outlineLevel="0" collapsed="false">
      <c r="A10" s="21" t="s">
        <v>94</v>
      </c>
      <c r="B10" s="22" t="s">
        <v>95</v>
      </c>
      <c r="C10" s="22" t="s">
        <v>96</v>
      </c>
      <c r="D10" s="22" t="s">
        <v>97</v>
      </c>
    </row>
    <row r="11" customFormat="false" ht="45.75" hidden="false" customHeight="true" outlineLevel="0" collapsed="false">
      <c r="A11" s="21" t="s">
        <v>41</v>
      </c>
      <c r="B11" s="22" t="s">
        <v>98</v>
      </c>
      <c r="C11" s="22" t="s">
        <v>99</v>
      </c>
      <c r="D11" s="22" t="s">
        <v>100</v>
      </c>
    </row>
    <row r="12" customFormat="false" ht="45.75" hidden="false" customHeight="true" outlineLevel="0" collapsed="false">
      <c r="A12" s="21" t="s">
        <v>42</v>
      </c>
      <c r="B12" s="22" t="s">
        <v>101</v>
      </c>
      <c r="C12" s="22" t="s">
        <v>102</v>
      </c>
      <c r="D12" s="22" t="s">
        <v>103</v>
      </c>
    </row>
    <row r="13" customFormat="false" ht="45.75" hidden="false" customHeight="true" outlineLevel="0" collapsed="false">
      <c r="A13" s="21" t="s">
        <v>104</v>
      </c>
      <c r="B13" s="22" t="s">
        <v>105</v>
      </c>
      <c r="C13" s="22" t="s">
        <v>106</v>
      </c>
      <c r="D13" s="22" t="s">
        <v>107</v>
      </c>
    </row>
    <row r="16" customFormat="false" ht="17.25" hidden="false" customHeight="true" outlineLevel="0" collapsed="false">
      <c r="A16" s="2" t="s">
        <v>108</v>
      </c>
      <c r="B16" s="2"/>
      <c r="C16" s="2"/>
      <c r="D16" s="2"/>
    </row>
    <row r="18" customFormat="false" ht="120" hidden="false" customHeight="true" outlineLevel="0" collapsed="false">
      <c r="A18" s="21" t="s">
        <v>109</v>
      </c>
      <c r="B18" s="22" t="s">
        <v>110</v>
      </c>
      <c r="C18" s="22"/>
      <c r="D18" s="22"/>
    </row>
    <row r="20" customFormat="false" ht="120" hidden="false" customHeight="true" outlineLevel="0" collapsed="false">
      <c r="A20" s="21" t="s">
        <v>111</v>
      </c>
      <c r="B20" s="22" t="s">
        <v>112</v>
      </c>
      <c r="C20" s="22"/>
      <c r="D20" s="22"/>
    </row>
    <row r="22" customFormat="false" ht="120" hidden="false" customHeight="true" outlineLevel="0" collapsed="false">
      <c r="A22" s="21" t="s">
        <v>113</v>
      </c>
      <c r="B22" s="22" t="s">
        <v>114</v>
      </c>
      <c r="C22" s="22"/>
      <c r="D22" s="22"/>
    </row>
    <row r="24" customFormat="false" ht="120" hidden="false" customHeight="true" outlineLevel="0" collapsed="false">
      <c r="A24" s="21" t="s">
        <v>115</v>
      </c>
      <c r="B24" s="22" t="s">
        <v>116</v>
      </c>
      <c r="C24" s="22"/>
      <c r="D24" s="22"/>
    </row>
    <row r="26" customFormat="false" ht="120" hidden="false" customHeight="true" outlineLevel="0" collapsed="false">
      <c r="A26" s="21" t="s">
        <v>117</v>
      </c>
      <c r="B26" s="22" t="s">
        <v>118</v>
      </c>
      <c r="C26" s="22"/>
      <c r="D26" s="22"/>
    </row>
    <row r="28" customFormat="false" ht="17.25" hidden="false" customHeight="true" outlineLevel="0" collapsed="false">
      <c r="A28" s="2" t="s">
        <v>119</v>
      </c>
      <c r="B28" s="2"/>
      <c r="C28" s="2"/>
      <c r="D28" s="2"/>
    </row>
    <row r="30" customFormat="false" ht="15" hidden="false" customHeight="true" outlineLevel="0" collapsed="false">
      <c r="A30" s="16" t="s">
        <v>120</v>
      </c>
      <c r="B30" s="16" t="s">
        <v>2</v>
      </c>
      <c r="C30" s="16" t="s">
        <v>3</v>
      </c>
      <c r="D30" s="16" t="s">
        <v>121</v>
      </c>
    </row>
    <row r="31" customFormat="false" ht="31.5" hidden="false" customHeight="true" outlineLevel="0" collapsed="false">
      <c r="A31" s="22" t="s">
        <v>4</v>
      </c>
      <c r="B31" s="22" t="s">
        <v>122</v>
      </c>
      <c r="C31" s="22" t="s">
        <v>5</v>
      </c>
      <c r="D31" s="22" t="s">
        <v>123</v>
      </c>
    </row>
    <row r="32" customFormat="false" ht="31.5" hidden="false" customHeight="true" outlineLevel="0" collapsed="false">
      <c r="A32" s="22" t="s">
        <v>34</v>
      </c>
      <c r="B32" s="22" t="s">
        <v>124</v>
      </c>
      <c r="C32" s="22" t="s">
        <v>125</v>
      </c>
      <c r="D32" s="22" t="s">
        <v>123</v>
      </c>
    </row>
    <row r="33" customFormat="false" ht="31.5" hidden="false" customHeight="true" outlineLevel="0" collapsed="false">
      <c r="A33" s="22" t="s">
        <v>28</v>
      </c>
      <c r="B33" s="22" t="s">
        <v>126</v>
      </c>
      <c r="C33" s="22" t="s">
        <v>9</v>
      </c>
      <c r="D33" s="22" t="s">
        <v>123</v>
      </c>
    </row>
    <row r="34" customFormat="false" ht="31.5" hidden="false" customHeight="true" outlineLevel="0" collapsed="false">
      <c r="A34" s="22" t="s">
        <v>60</v>
      </c>
      <c r="B34" s="22" t="s">
        <v>127</v>
      </c>
      <c r="C34" s="22" t="s">
        <v>128</v>
      </c>
      <c r="D34" s="22" t="s">
        <v>123</v>
      </c>
    </row>
    <row r="35" customFormat="false" ht="31.5" hidden="false" customHeight="true" outlineLevel="0" collapsed="false">
      <c r="A35" s="22" t="s">
        <v>129</v>
      </c>
      <c r="B35" s="22" t="s">
        <v>130</v>
      </c>
      <c r="C35" s="22" t="s">
        <v>13</v>
      </c>
      <c r="D35" s="22" t="s">
        <v>123</v>
      </c>
    </row>
    <row r="36" customFormat="false" ht="31.5" hidden="false" customHeight="true" outlineLevel="0" collapsed="false">
      <c r="A36" s="22" t="s">
        <v>131</v>
      </c>
      <c r="B36" s="22" t="s">
        <v>132</v>
      </c>
      <c r="C36" s="22" t="s">
        <v>133</v>
      </c>
      <c r="D36" s="22" t="s">
        <v>123</v>
      </c>
    </row>
    <row r="37" customFormat="false" ht="31.5" hidden="false" customHeight="true" outlineLevel="0" collapsed="false">
      <c r="A37" s="22" t="s">
        <v>134</v>
      </c>
      <c r="B37" s="22" t="s">
        <v>135</v>
      </c>
      <c r="C37" s="22" t="s">
        <v>136</v>
      </c>
      <c r="D37" s="22" t="s">
        <v>135</v>
      </c>
    </row>
    <row r="40" customFormat="false" ht="17.35" hidden="false" customHeight="false" outlineLevel="0" collapsed="false">
      <c r="A40" s="23" t="s">
        <v>137</v>
      </c>
      <c r="B40" s="23"/>
      <c r="C40" s="23"/>
      <c r="D40" s="23"/>
    </row>
    <row r="42" customFormat="false" ht="25.5" hidden="false" customHeight="true" outlineLevel="0" collapsed="false">
      <c r="A42" s="16" t="s">
        <v>70</v>
      </c>
      <c r="B42" s="16" t="s">
        <v>138</v>
      </c>
      <c r="C42" s="16" t="s">
        <v>139</v>
      </c>
      <c r="D42" s="16" t="s">
        <v>140</v>
      </c>
    </row>
    <row r="43" customFormat="false" ht="57.75" hidden="false" customHeight="true" outlineLevel="0" collapsed="false">
      <c r="A43" s="24" t="s">
        <v>47</v>
      </c>
      <c r="B43" s="25" t="s">
        <v>141</v>
      </c>
      <c r="C43" s="25" t="s">
        <v>142</v>
      </c>
      <c r="D43" s="25" t="s">
        <v>143</v>
      </c>
    </row>
    <row r="44" customFormat="false" ht="57.75" hidden="false" customHeight="true" outlineLevel="0" collapsed="false">
      <c r="A44" s="24" t="s">
        <v>33</v>
      </c>
      <c r="B44" s="25" t="s">
        <v>144</v>
      </c>
      <c r="C44" s="25" t="s">
        <v>145</v>
      </c>
      <c r="D44" s="25" t="s">
        <v>146</v>
      </c>
    </row>
    <row r="45" customFormat="false" ht="57.75" hidden="false" customHeight="true" outlineLevel="0" collapsed="false">
      <c r="A45" s="24" t="s">
        <v>34</v>
      </c>
      <c r="B45" s="25" t="s">
        <v>147</v>
      </c>
      <c r="C45" s="25" t="s">
        <v>148</v>
      </c>
      <c r="D45" s="25" t="s">
        <v>125</v>
      </c>
    </row>
    <row r="46" customFormat="false" ht="57.75" hidden="false" customHeight="true" outlineLevel="0" collapsed="false">
      <c r="A46" s="24" t="s">
        <v>149</v>
      </c>
      <c r="B46" s="25" t="s">
        <v>150</v>
      </c>
      <c r="C46" s="25" t="s">
        <v>151</v>
      </c>
      <c r="D46" s="25" t="s">
        <v>13</v>
      </c>
    </row>
    <row r="47" customFormat="false" ht="57.75" hidden="false" customHeight="true" outlineLevel="0" collapsed="false">
      <c r="A47" s="26" t="s">
        <v>28</v>
      </c>
      <c r="B47" s="27" t="s">
        <v>152</v>
      </c>
      <c r="C47" s="27" t="s">
        <v>153</v>
      </c>
      <c r="D47" s="27" t="s">
        <v>9</v>
      </c>
    </row>
    <row r="48" customFormat="false" ht="57.75" hidden="false" customHeight="true" outlineLevel="0" collapsed="false">
      <c r="A48" s="26" t="s">
        <v>154</v>
      </c>
      <c r="B48" s="27" t="s">
        <v>155</v>
      </c>
      <c r="C48" s="27" t="s">
        <v>156</v>
      </c>
      <c r="D48" s="27" t="s">
        <v>157</v>
      </c>
    </row>
    <row r="49" customFormat="false" ht="57.75" hidden="false" customHeight="true" outlineLevel="0" collapsed="false">
      <c r="A49" s="26" t="s">
        <v>158</v>
      </c>
      <c r="B49" s="27" t="s">
        <v>159</v>
      </c>
      <c r="C49" s="27" t="s">
        <v>160</v>
      </c>
      <c r="D49" s="27" t="s">
        <v>157</v>
      </c>
    </row>
    <row r="50" customFormat="false" ht="57.75" hidden="false" customHeight="true" outlineLevel="0" collapsed="false">
      <c r="A50" s="26" t="s">
        <v>161</v>
      </c>
      <c r="B50" s="27" t="s">
        <v>162</v>
      </c>
      <c r="C50" s="27" t="s">
        <v>163</v>
      </c>
      <c r="D50" s="27" t="s">
        <v>157</v>
      </c>
    </row>
    <row r="51" customFormat="false" ht="57.75" hidden="false" customHeight="true" outlineLevel="0" collapsed="false">
      <c r="A51" s="26" t="s">
        <v>94</v>
      </c>
      <c r="B51" s="27" t="s">
        <v>164</v>
      </c>
      <c r="C51" s="27" t="s">
        <v>165</v>
      </c>
      <c r="D51" s="27" t="s">
        <v>166</v>
      </c>
    </row>
    <row r="52" customFormat="false" ht="57.75" hidden="false" customHeight="true" outlineLevel="0" collapsed="false">
      <c r="A52" s="28" t="s">
        <v>44</v>
      </c>
      <c r="B52" s="29" t="s">
        <v>167</v>
      </c>
      <c r="C52" s="29" t="s">
        <v>168</v>
      </c>
      <c r="D52" s="29" t="s">
        <v>128</v>
      </c>
    </row>
    <row r="53" customFormat="false" ht="57.75" hidden="false" customHeight="true" outlineLevel="0" collapsed="false">
      <c r="A53" s="26" t="s">
        <v>169</v>
      </c>
      <c r="B53" s="27" t="s">
        <v>170</v>
      </c>
      <c r="C53" s="27" t="s">
        <v>171</v>
      </c>
      <c r="D53" s="27" t="s">
        <v>172</v>
      </c>
    </row>
    <row r="55" customFormat="false" ht="15" hidden="false" customHeight="false" outlineLevel="0" collapsed="false">
      <c r="A55" s="30" t="s">
        <v>173</v>
      </c>
    </row>
    <row r="56" customFormat="false" ht="15" hidden="false" customHeight="false" outlineLevel="0" collapsed="false">
      <c r="A56" s="31" t="s">
        <v>174</v>
      </c>
    </row>
    <row r="57" customFormat="false" ht="15" hidden="false" customHeight="false" outlineLevel="0" collapsed="false">
      <c r="A57" s="32" t="s">
        <v>175</v>
      </c>
    </row>
  </sheetData>
  <mergeCells count="9">
    <mergeCell ref="A1:D1"/>
    <mergeCell ref="A16:D16"/>
    <mergeCell ref="B18:D18"/>
    <mergeCell ref="B20:D20"/>
    <mergeCell ref="B22:D22"/>
    <mergeCell ref="B24:D24"/>
    <mergeCell ref="B26:D26"/>
    <mergeCell ref="A28:D28"/>
    <mergeCell ref="A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2026-10-29T12:49:37Z</dcterms:created>
  <dc:creator>openpyxl</dc:creator>
  <dc:description/>
  <dc:language>es-PE</dc:language>
  <cp:lastModifiedBy/>
  <dcterms:modified xsi:type="dcterms:W3CDTF">2026-10-29T17:08:55Z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